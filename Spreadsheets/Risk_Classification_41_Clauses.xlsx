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Classification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<sst xmlns="http://schemas.openxmlformats.org/spreadsheetml/2006/main" count="176" uniqueCount="97">
  <si>
    <t xml:space="preserve">No.</t>
  </si>
  <si>
    <t xml:space="preserve">CUAD Clause Type</t>
  </si>
  <si>
    <t xml:space="preserve">Functional Group</t>
  </si>
  <si>
    <t xml:space="preserve">Risk Level</t>
  </si>
  <si>
    <t xml:space="preserve">Reason</t>
  </si>
  <si>
    <t xml:space="preserve">Document Name</t>
  </si>
  <si>
    <t xml:space="preserve">General Info</t>
  </si>
  <si>
    <t xml:space="preserve">Low</t>
  </si>
  <si>
    <t xml:space="preserve">Simply names the contract type and carries no obligation; useful for filing and reference only.</t>
  </si>
  <si>
    <t xml:space="preserve">Parties</t>
  </si>
  <si>
    <t xml:space="preserve">Identifies who is legally bound; foundational metadata that creates no risk on its own.</t>
  </si>
  <si>
    <t xml:space="preserve">Agreement Date</t>
  </si>
  <si>
    <t xml:space="preserve">A reference date for when the contract was signed; informational with no direct exposure.</t>
  </si>
  <si>
    <t xml:space="preserve">Effective Date</t>
  </si>
  <si>
    <t xml:space="preserve">Marks when obligations begin; needs awareness for timing but is standard and non-contentious.</t>
  </si>
  <si>
    <t xml:space="preserve">Expiration Date</t>
  </si>
  <si>
    <t xml:space="preserve">States when the contract naturally ends; important for planning but routine and predictable.</t>
  </si>
  <si>
    <t xml:space="preserve">Renewal Term</t>
  </si>
  <si>
    <t xml:space="preserve">Medium</t>
  </si>
  <si>
    <t xml:space="preserve">Automatic renewals can silently lock a party into another full term if not actively managed.</t>
  </si>
  <si>
    <t xml:space="preserve">Notice Period to Terminate Renewal</t>
  </si>
  <si>
    <t xml:space="preserve">Missing the notice window forces an unwanted renewal, so the deadline must be tracked carefully.</t>
  </si>
  <si>
    <t xml:space="preserve">Governing Law</t>
  </si>
  <si>
    <t xml:space="preserve">Sets the jurisdiction for disputes; affects litigation venue but is a standard, expected provision.</t>
  </si>
  <si>
    <t xml:space="preserve">Most Favored Nation</t>
  </si>
  <si>
    <t xml:space="preserve">Restrictive Covenant</t>
  </si>
  <si>
    <t xml:space="preserve">Forces a party to always offer its best terms, constraining future pricing and squeezing margins.</t>
  </si>
  <si>
    <t xml:space="preserve">Non-Compete</t>
  </si>
  <si>
    <t xml:space="preserve">High</t>
  </si>
  <si>
    <t xml:space="preserve">Bars a party from competing for a period, directly limiting future income and business freedom.</t>
  </si>
  <si>
    <t xml:space="preserve">Exclusivity</t>
  </si>
  <si>
    <t xml:space="preserve">Locks a party to a single counterparty, forfeiting other deals and concentrating dependency risk.</t>
  </si>
  <si>
    <t xml:space="preserve">No-Solicit of Customers</t>
  </si>
  <si>
    <t xml:space="preserve">Restricts approaching the other side's customers, narrowing market reach but more limited than a non-compete.</t>
  </si>
  <si>
    <t xml:space="preserve">Competitive Restriction Exception</t>
  </si>
  <si>
    <t xml:space="preserve">A carve-out that loosens other restrictions, so it favors the signing party rather than exposing it.</t>
  </si>
  <si>
    <t xml:space="preserve">No-Solicit of Employees</t>
  </si>
  <si>
    <t xml:space="preserve">Limits hiring from the counterparty's staff; a manageable constraint on recruitment with legal awareness.</t>
  </si>
  <si>
    <t xml:space="preserve">Non-Disparagement</t>
  </si>
  <si>
    <t xml:space="preserve">Restricts public criticism of the other party, creating speech and potential reputational/legal exposure.</t>
  </si>
  <si>
    <t xml:space="preserve">Termination For Convenience</t>
  </si>
  <si>
    <t xml:space="preserve">Lets the other side exit at any time, creating revenue uncertainty and weak commitment to the deal.</t>
  </si>
  <si>
    <t xml:space="preserve">Rofr/Rofo/Rofn</t>
  </si>
  <si>
    <t xml:space="preserve">Gives the counterparty first rights on future deals, limiting freedom to transact with third parties.</t>
  </si>
  <si>
    <t xml:space="preserve">Change of Control</t>
  </si>
  <si>
    <t xml:space="preserve">Can trigger consent rights or termination on a sale or merger, complicating future M&amp;A and restructuring.</t>
  </si>
  <si>
    <t xml:space="preserve">Anti-Assignment</t>
  </si>
  <si>
    <t xml:space="preserve">Blocks transferring the contract without consent, reducing flexibility in restructuring or acquisition.</t>
  </si>
  <si>
    <t xml:space="preserve">Revenue/Profit Sharing</t>
  </si>
  <si>
    <t xml:space="preserve">Revenue &amp; Liability</t>
  </si>
  <si>
    <t xml:space="preserve">Commits a party to hand over a share of revenue or profit, a direct and ongoing financial drain.</t>
  </si>
  <si>
    <t xml:space="preserve">Price Restrictions</t>
  </si>
  <si>
    <t xml:space="preserve">Caps or controls pricing freedom, limiting the ability to respond to market conditions.</t>
  </si>
  <si>
    <t xml:space="preserve">Minimum Commitment</t>
  </si>
  <si>
    <t xml:space="preserve">Obligates a guaranteed minimum spend or volume regardless of actual need, a fixed financial exposure.</t>
  </si>
  <si>
    <t xml:space="preserve">Volume Restriction</t>
  </si>
  <si>
    <t xml:space="preserve">Caps the quantity that can be bought or sold, constraining the scale of the business relationship.</t>
  </si>
  <si>
    <t xml:space="preserve">IP Ownership Assignment</t>
  </si>
  <si>
    <t xml:space="preserve">IP &amp; Termination</t>
  </si>
  <si>
    <t xml:space="preserve">Transfers ownership of intellectual property away, permanently surrendering a potentially core asset.</t>
  </si>
  <si>
    <t xml:space="preserve">Joint IP Ownership</t>
  </si>
  <si>
    <t xml:space="preserve">Splits IP rights between parties, creating co-ownership complications but stopping short of full loss.</t>
  </si>
  <si>
    <t xml:space="preserve">License Grant</t>
  </si>
  <si>
    <t xml:space="preserve">Grants rights to use IP; the breadth and scope of the grant determine how much value is given away.</t>
  </si>
  <si>
    <t xml:space="preserve">Non-Transferable License</t>
  </si>
  <si>
    <t xml:space="preserve">A license that cannot be reassigned; a minor restriction on a right the party is receiving.</t>
  </si>
  <si>
    <t xml:space="preserve">Affiliate License-Licensor</t>
  </si>
  <si>
    <t xml:space="preserve">Extends a granted license to the licensor's affiliates; a narrow, routine scope detail.</t>
  </si>
  <si>
    <t xml:space="preserve">Affiliate License-Licensee</t>
  </si>
  <si>
    <t xml:space="preserve">Extends a received license to the licensee's affiliates; generally favorable and low-impact.</t>
  </si>
  <si>
    <t xml:space="preserve">Unlimited/All-You-Can-Eat-License</t>
  </si>
  <si>
    <t xml:space="preserve">Grants uncapped usage rights, which can erode a licensor's revenue if the party is granting the license.</t>
  </si>
  <si>
    <t xml:space="preserve">Irrevocable Or Perpetual License</t>
  </si>
  <si>
    <t xml:space="preserve">Cannot be revoked or expires never, permanently surrendering control over the licensed IP.</t>
  </si>
  <si>
    <t xml:space="preserve">Source Code Escrow</t>
  </si>
  <si>
    <t xml:space="preserve">Requires depositing source code for release on trigger events, exposing sensitive IP under conditions.</t>
  </si>
  <si>
    <t xml:space="preserve">Post-Termination Services</t>
  </si>
  <si>
    <t xml:space="preserve">Obligates continued service after the contract ends, an ongoing burden beyond the intended term.</t>
  </si>
  <si>
    <t xml:space="preserve">Audit Rights</t>
  </si>
  <si>
    <t xml:space="preserve">Allows the counterparty to inspect records, creating a compliance burden and exposure to disputes.</t>
  </si>
  <si>
    <t xml:space="preserve">Uncapped Liability</t>
  </si>
  <si>
    <t xml:space="preserve">Exposes a party to unlimited damages with no ceiling, the single largest financial risk in a contract.</t>
  </si>
  <si>
    <t xml:space="preserve">Cap On Liability</t>
  </si>
  <si>
    <t xml:space="preserve">Limits damages to a set amount; protective in principle but the cap level can be too low or too high to be fair.</t>
  </si>
  <si>
    <t xml:space="preserve">Liquidated Damages</t>
  </si>
  <si>
    <t xml:space="preserve">Pre-sets a fixed penalty payable on breach, a concrete and often large financial exposure.</t>
  </si>
  <si>
    <t xml:space="preserve">Warranty Duration</t>
  </si>
  <si>
    <t xml:space="preserve">Defines how long warranty obligations last, setting the window of post-delivery liability.</t>
  </si>
  <si>
    <t xml:space="preserve">Insurance</t>
  </si>
  <si>
    <t xml:space="preserve">Requires maintaining specified coverage, an ongoing cost and compliance obligation.</t>
  </si>
  <si>
    <t xml:space="preserve">Covenant Not To Sue</t>
  </si>
  <si>
    <t xml:space="preserve">Waives the right to bring certain legal claims, giving up legal recourse within its scope.</t>
  </si>
  <si>
    <t xml:space="preserve">Third Party Beneficiary</t>
  </si>
  <si>
    <t xml:space="preserve">Lets non-signatories enforce certain terms; expands who can claim but is usually narrow and standard.</t>
  </si>
  <si>
    <t xml:space="preserve">Count</t>
  </si>
  <si>
    <t xml:space="preserve">Share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</si>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</sst>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7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6.85" hidden="false" customHeight="false" outlineLevel="0" collapsed="false">
      <c r="A2" s="2" t="n">
        <v>1</v>
      </c>
      <c r="B2" s="3" t="s">
        <v>5</v>
      </c>
      <c r="C2" s="3" t="s">
        <v>6</v>
      </c>
      <c r="D2" s="4" t="s">
        <v>7</v>
      </c>
      <c r="E2" s="5" t="s">
        <v>8</v>
      </c>
    </row>
    <row r="3" customFormat="false" ht="26.85" hidden="false" customHeight="false" outlineLevel="0" collapsed="false">
      <c r="A3" s="2" t="n">
        <v>2</v>
      </c>
      <c r="B3" s="3" t="s">
        <v>9</v>
      </c>
      <c r="C3" s="3" t="s">
        <v>6</v>
      </c>
      <c r="D3" s="4" t="s">
        <v>7</v>
      </c>
      <c r="E3" s="5" t="s">
        <v>10</v>
      </c>
    </row>
    <row r="4" customFormat="false" ht="26.85" hidden="false" customHeight="false" outlineLevel="0" collapsed="false">
      <c r="A4" s="2" t="n">
        <v>3</v>
      </c>
      <c r="B4" s="3" t="s">
        <v>11</v>
      </c>
      <c r="C4" s="3" t="s">
        <v>6</v>
      </c>
      <c r="D4" s="4" t="s">
        <v>7</v>
      </c>
      <c r="E4" s="5" t="s">
        <v>12</v>
      </c>
    </row>
    <row r="5" customFormat="false" ht="26.85" hidden="false" customHeight="false" outlineLevel="0" collapsed="false">
      <c r="A5" s="2" t="n">
        <v>4</v>
      </c>
      <c r="B5" s="3" t="s">
        <v>13</v>
      </c>
      <c r="C5" s="3" t="s">
        <v>6</v>
      </c>
      <c r="D5" s="4" t="s">
        <v>7</v>
      </c>
      <c r="E5" s="5" t="s">
        <v>14</v>
      </c>
    </row>
    <row r="6" customFormat="false" ht="26.85" hidden="false" customHeight="false" outlineLevel="0" collapsed="false">
      <c r="A6" s="2" t="n">
        <v>5</v>
      </c>
      <c r="B6" s="3" t="s">
        <v>15</v>
      </c>
      <c r="C6" s="3" t="s">
        <v>6</v>
      </c>
      <c r="D6" s="4" t="s">
        <v>7</v>
      </c>
      <c r="E6" s="5" t="s">
        <v>16</v>
      </c>
    </row>
    <row r="7" customFormat="false" ht="26.85" hidden="false" customHeight="false" outlineLevel="0" collapsed="false">
      <c r="A7" s="2" t="n">
        <v>6</v>
      </c>
      <c r="B7" s="3" t="s">
        <v>17</v>
      </c>
      <c r="C7" s="3" t="s">
        <v>6</v>
      </c>
      <c r="D7" s="6" t="s">
        <v>18</v>
      </c>
      <c r="E7" s="5" t="s">
        <v>19</v>
      </c>
    </row>
    <row r="8" customFormat="false" ht="26.85" hidden="false" customHeight="false" outlineLevel="0" collapsed="false">
      <c r="A8" s="2" t="n">
        <v>7</v>
      </c>
      <c r="B8" s="3" t="s">
        <v>20</v>
      </c>
      <c r="C8" s="3" t="s">
        <v>6</v>
      </c>
      <c r="D8" s="6" t="s">
        <v>18</v>
      </c>
      <c r="E8" s="5" t="s">
        <v>21</v>
      </c>
    </row>
    <row r="9" customFormat="false" ht="26.85" hidden="false" customHeight="false" outlineLevel="0" collapsed="false">
      <c r="A9" s="2" t="n">
        <v>8</v>
      </c>
      <c r="B9" s="3" t="s">
        <v>22</v>
      </c>
      <c r="C9" s="3" t="s">
        <v>6</v>
      </c>
      <c r="D9" s="4" t="s">
        <v>7</v>
      </c>
      <c r="E9" s="5" t="s">
        <v>23</v>
      </c>
    </row>
    <row r="10" customFormat="false" ht="26.85" hidden="false" customHeight="false" outlineLevel="0" collapsed="false">
      <c r="A10" s="2" t="n">
        <v>9</v>
      </c>
      <c r="B10" s="3" t="s">
        <v>24</v>
      </c>
      <c r="C10" s="3" t="s">
        <v>25</v>
      </c>
      <c r="D10" s="6" t="s">
        <v>18</v>
      </c>
      <c r="E10" s="5" t="s">
        <v>26</v>
      </c>
    </row>
    <row r="11" customFormat="false" ht="26.85" hidden="false" customHeight="false" outlineLevel="0" collapsed="false">
      <c r="A11" s="2" t="n">
        <v>10</v>
      </c>
      <c r="B11" s="3" t="s">
        <v>27</v>
      </c>
      <c r="C11" s="3" t="s">
        <v>25</v>
      </c>
      <c r="D11" s="7" t="s">
        <v>28</v>
      </c>
      <c r="E11" s="5" t="s">
        <v>29</v>
      </c>
    </row>
    <row r="12" customFormat="false" ht="26.85" hidden="false" customHeight="false" outlineLevel="0" collapsed="false">
      <c r="A12" s="2" t="n">
        <v>11</v>
      </c>
      <c r="B12" s="3" t="s">
        <v>30</v>
      </c>
      <c r="C12" s="3" t="s">
        <v>25</v>
      </c>
      <c r="D12" s="7" t="s">
        <v>28</v>
      </c>
      <c r="E12" s="5" t="s">
        <v>31</v>
      </c>
    </row>
    <row r="13" customFormat="false" ht="26.85" hidden="false" customHeight="false" outlineLevel="0" collapsed="false">
      <c r="A13" s="2" t="n">
        <v>12</v>
      </c>
      <c r="B13" s="3" t="s">
        <v>32</v>
      </c>
      <c r="C13" s="3" t="s">
        <v>25</v>
      </c>
      <c r="D13" s="6" t="s">
        <v>18</v>
      </c>
      <c r="E13" s="5" t="s">
        <v>33</v>
      </c>
    </row>
    <row r="14" customFormat="false" ht="26.85" hidden="false" customHeight="false" outlineLevel="0" collapsed="false">
      <c r="A14" s="2" t="n">
        <v>13</v>
      </c>
      <c r="B14" s="3" t="s">
        <v>34</v>
      </c>
      <c r="C14" s="3" t="s">
        <v>25</v>
      </c>
      <c r="D14" s="4" t="s">
        <v>7</v>
      </c>
      <c r="E14" s="5" t="s">
        <v>35</v>
      </c>
    </row>
    <row r="15" customFormat="false" ht="26.85" hidden="false" customHeight="false" outlineLevel="0" collapsed="false">
      <c r="A15" s="2" t="n">
        <v>14</v>
      </c>
      <c r="B15" s="3" t="s">
        <v>36</v>
      </c>
      <c r="C15" s="3" t="s">
        <v>25</v>
      </c>
      <c r="D15" s="6" t="s">
        <v>18</v>
      </c>
      <c r="E15" s="5" t="s">
        <v>37</v>
      </c>
    </row>
    <row r="16" customFormat="false" ht="26.85" hidden="false" customHeight="false" outlineLevel="0" collapsed="false">
      <c r="A16" s="2" t="n">
        <v>15</v>
      </c>
      <c r="B16" s="3" t="s">
        <v>38</v>
      </c>
      <c r="C16" s="3" t="s">
        <v>25</v>
      </c>
      <c r="D16" s="6" t="s">
        <v>18</v>
      </c>
      <c r="E16" s="5" t="s">
        <v>39</v>
      </c>
    </row>
    <row r="17" customFormat="false" ht="26.85" hidden="false" customHeight="false" outlineLevel="0" collapsed="false">
      <c r="A17" s="2" t="n">
        <v>16</v>
      </c>
      <c r="B17" s="3" t="s">
        <v>40</v>
      </c>
      <c r="C17" s="3" t="s">
        <v>6</v>
      </c>
      <c r="D17" s="6" t="s">
        <v>18</v>
      </c>
      <c r="E17" s="5" t="s">
        <v>41</v>
      </c>
    </row>
    <row r="18" customFormat="false" ht="26.85" hidden="false" customHeight="false" outlineLevel="0" collapsed="false">
      <c r="A18" s="2" t="n">
        <v>17</v>
      </c>
      <c r="B18" s="3" t="s">
        <v>42</v>
      </c>
      <c r="C18" s="3" t="s">
        <v>25</v>
      </c>
      <c r="D18" s="6" t="s">
        <v>18</v>
      </c>
      <c r="E18" s="5" t="s">
        <v>43</v>
      </c>
    </row>
    <row r="19" customFormat="false" ht="26.85" hidden="false" customHeight="false" outlineLevel="0" collapsed="false">
      <c r="A19" s="2" t="n">
        <v>18</v>
      </c>
      <c r="B19" s="3" t="s">
        <v>44</v>
      </c>
      <c r="C19" s="3" t="s">
        <v>6</v>
      </c>
      <c r="D19" s="6" t="s">
        <v>18</v>
      </c>
      <c r="E19" s="5" t="s">
        <v>45</v>
      </c>
    </row>
    <row r="20" customFormat="false" ht="26.85" hidden="false" customHeight="false" outlineLevel="0" collapsed="false">
      <c r="A20" s="2" t="n">
        <v>19</v>
      </c>
      <c r="B20" s="3" t="s">
        <v>46</v>
      </c>
      <c r="C20" s="3" t="s">
        <v>25</v>
      </c>
      <c r="D20" s="6" t="s">
        <v>18</v>
      </c>
      <c r="E20" s="5" t="s">
        <v>47</v>
      </c>
    </row>
    <row r="21" customFormat="false" ht="26.85" hidden="false" customHeight="false" outlineLevel="0" collapsed="false">
      <c r="A21" s="2" t="n">
        <v>20</v>
      </c>
      <c r="B21" s="3" t="s">
        <v>48</v>
      </c>
      <c r="C21" s="3" t="s">
        <v>49</v>
      </c>
      <c r="D21" s="7" t="s">
        <v>28</v>
      </c>
      <c r="E21" s="5" t="s">
        <v>50</v>
      </c>
    </row>
    <row r="22" customFormat="false" ht="26.85" hidden="false" customHeight="false" outlineLevel="0" collapsed="false">
      <c r="A22" s="2" t="n">
        <v>21</v>
      </c>
      <c r="B22" s="3" t="s">
        <v>51</v>
      </c>
      <c r="C22" s="3" t="s">
        <v>49</v>
      </c>
      <c r="D22" s="6" t="s">
        <v>18</v>
      </c>
      <c r="E22" s="5" t="s">
        <v>52</v>
      </c>
    </row>
    <row r="23" customFormat="false" ht="26.85" hidden="false" customHeight="false" outlineLevel="0" collapsed="false">
      <c r="A23" s="2" t="n">
        <v>22</v>
      </c>
      <c r="B23" s="3" t="s">
        <v>53</v>
      </c>
      <c r="C23" s="3" t="s">
        <v>49</v>
      </c>
      <c r="D23" s="7" t="s">
        <v>28</v>
      </c>
      <c r="E23" s="5" t="s">
        <v>54</v>
      </c>
    </row>
    <row r="24" customFormat="false" ht="26.85" hidden="false" customHeight="false" outlineLevel="0" collapsed="false">
      <c r="A24" s="2" t="n">
        <v>23</v>
      </c>
      <c r="B24" s="3" t="s">
        <v>55</v>
      </c>
      <c r="C24" s="3" t="s">
        <v>49</v>
      </c>
      <c r="D24" s="6" t="s">
        <v>18</v>
      </c>
      <c r="E24" s="5" t="s">
        <v>56</v>
      </c>
    </row>
    <row r="25" customFormat="false" ht="26.85" hidden="false" customHeight="false" outlineLevel="0" collapsed="false">
      <c r="A25" s="2" t="n">
        <v>24</v>
      </c>
      <c r="B25" s="3" t="s">
        <v>57</v>
      </c>
      <c r="C25" s="3" t="s">
        <v>58</v>
      </c>
      <c r="D25" s="7" t="s">
        <v>28</v>
      </c>
      <c r="E25" s="5" t="s">
        <v>59</v>
      </c>
    </row>
    <row r="26" customFormat="false" ht="26.85" hidden="false" customHeight="false" outlineLevel="0" collapsed="false">
      <c r="A26" s="2" t="n">
        <v>25</v>
      </c>
      <c r="B26" s="3" t="s">
        <v>60</v>
      </c>
      <c r="C26" s="3" t="s">
        <v>58</v>
      </c>
      <c r="D26" s="6" t="s">
        <v>18</v>
      </c>
      <c r="E26" s="5" t="s">
        <v>61</v>
      </c>
    </row>
    <row r="27" customFormat="false" ht="26.85" hidden="false" customHeight="false" outlineLevel="0" collapsed="false">
      <c r="A27" s="2" t="n">
        <v>26</v>
      </c>
      <c r="B27" s="3" t="s">
        <v>62</v>
      </c>
      <c r="C27" s="3" t="s">
        <v>58</v>
      </c>
      <c r="D27" s="6" t="s">
        <v>18</v>
      </c>
      <c r="E27" s="5" t="s">
        <v>63</v>
      </c>
    </row>
    <row r="28" customFormat="false" ht="26.85" hidden="false" customHeight="false" outlineLevel="0" collapsed="false">
      <c r="A28" s="2" t="n">
        <v>27</v>
      </c>
      <c r="B28" s="3" t="s">
        <v>64</v>
      </c>
      <c r="C28" s="3" t="s">
        <v>58</v>
      </c>
      <c r="D28" s="4" t="s">
        <v>7</v>
      </c>
      <c r="E28" s="5" t="s">
        <v>65</v>
      </c>
    </row>
    <row r="29" customFormat="false" ht="26.85" hidden="false" customHeight="false" outlineLevel="0" collapsed="false">
      <c r="A29" s="2" t="n">
        <v>28</v>
      </c>
      <c r="B29" s="3" t="s">
        <v>66</v>
      </c>
      <c r="C29" s="3" t="s">
        <v>58</v>
      </c>
      <c r="D29" s="4" t="s">
        <v>7</v>
      </c>
      <c r="E29" s="5" t="s">
        <v>67</v>
      </c>
    </row>
    <row r="30" customFormat="false" ht="26.85" hidden="false" customHeight="false" outlineLevel="0" collapsed="false">
      <c r="A30" s="2" t="n">
        <v>29</v>
      </c>
      <c r="B30" s="3" t="s">
        <v>68</v>
      </c>
      <c r="C30" s="3" t="s">
        <v>58</v>
      </c>
      <c r="D30" s="4" t="s">
        <v>7</v>
      </c>
      <c r="E30" s="5" t="s">
        <v>69</v>
      </c>
    </row>
    <row r="31" customFormat="false" ht="26.85" hidden="false" customHeight="false" outlineLevel="0" collapsed="false">
      <c r="A31" s="2" t="n">
        <v>30</v>
      </c>
      <c r="B31" s="3" t="s">
        <v>70</v>
      </c>
      <c r="C31" s="3" t="s">
        <v>58</v>
      </c>
      <c r="D31" s="6" t="s">
        <v>18</v>
      </c>
      <c r="E31" s="5" t="s">
        <v>71</v>
      </c>
    </row>
    <row r="32" customFormat="false" ht="26.85" hidden="false" customHeight="false" outlineLevel="0" collapsed="false">
      <c r="A32" s="2" t="n">
        <v>31</v>
      </c>
      <c r="B32" s="3" t="s">
        <v>72</v>
      </c>
      <c r="C32" s="3" t="s">
        <v>58</v>
      </c>
      <c r="D32" s="7" t="s">
        <v>28</v>
      </c>
      <c r="E32" s="5" t="s">
        <v>73</v>
      </c>
    </row>
    <row r="33" customFormat="false" ht="26.85" hidden="false" customHeight="false" outlineLevel="0" collapsed="false">
      <c r="A33" s="2" t="n">
        <v>32</v>
      </c>
      <c r="B33" s="3" t="s">
        <v>74</v>
      </c>
      <c r="C33" s="3" t="s">
        <v>58</v>
      </c>
      <c r="D33" s="6" t="s">
        <v>18</v>
      </c>
      <c r="E33" s="5" t="s">
        <v>75</v>
      </c>
    </row>
    <row r="34" customFormat="false" ht="26.85" hidden="false" customHeight="false" outlineLevel="0" collapsed="false">
      <c r="A34" s="2" t="n">
        <v>33</v>
      </c>
      <c r="B34" s="3" t="s">
        <v>76</v>
      </c>
      <c r="C34" s="3" t="s">
        <v>58</v>
      </c>
      <c r="D34" s="6" t="s">
        <v>18</v>
      </c>
      <c r="E34" s="5" t="s">
        <v>77</v>
      </c>
    </row>
    <row r="35" customFormat="false" ht="26.85" hidden="false" customHeight="false" outlineLevel="0" collapsed="false">
      <c r="A35" s="2" t="n">
        <v>34</v>
      </c>
      <c r="B35" s="3" t="s">
        <v>78</v>
      </c>
      <c r="C35" s="3" t="s">
        <v>49</v>
      </c>
      <c r="D35" s="6" t="s">
        <v>18</v>
      </c>
      <c r="E35" s="5" t="s">
        <v>79</v>
      </c>
    </row>
    <row r="36" customFormat="false" ht="26.85" hidden="false" customHeight="false" outlineLevel="0" collapsed="false">
      <c r="A36" s="2" t="n">
        <v>35</v>
      </c>
      <c r="B36" s="3" t="s">
        <v>80</v>
      </c>
      <c r="C36" s="3" t="s">
        <v>49</v>
      </c>
      <c r="D36" s="7" t="s">
        <v>28</v>
      </c>
      <c r="E36" s="5" t="s">
        <v>81</v>
      </c>
    </row>
    <row r="37" customFormat="false" ht="26.85" hidden="false" customHeight="false" outlineLevel="0" collapsed="false">
      <c r="A37" s="2" t="n">
        <v>36</v>
      </c>
      <c r="B37" s="3" t="s">
        <v>82</v>
      </c>
      <c r="C37" s="3" t="s">
        <v>49</v>
      </c>
      <c r="D37" s="6" t="s">
        <v>18</v>
      </c>
      <c r="E37" s="5" t="s">
        <v>83</v>
      </c>
    </row>
    <row r="38" customFormat="false" ht="26.85" hidden="false" customHeight="false" outlineLevel="0" collapsed="false">
      <c r="A38" s="2" t="n">
        <v>37</v>
      </c>
      <c r="B38" s="3" t="s">
        <v>84</v>
      </c>
      <c r="C38" s="3" t="s">
        <v>49</v>
      </c>
      <c r="D38" s="7" t="s">
        <v>28</v>
      </c>
      <c r="E38" s="5" t="s">
        <v>85</v>
      </c>
    </row>
    <row r="39" customFormat="false" ht="26.85" hidden="false" customHeight="false" outlineLevel="0" collapsed="false">
      <c r="A39" s="2" t="n">
        <v>38</v>
      </c>
      <c r="B39" s="3" t="s">
        <v>86</v>
      </c>
      <c r="C39" s="3" t="s">
        <v>49</v>
      </c>
      <c r="D39" s="6" t="s">
        <v>18</v>
      </c>
      <c r="E39" s="5" t="s">
        <v>87</v>
      </c>
    </row>
    <row r="40" customFormat="false" ht="26.85" hidden="false" customHeight="false" outlineLevel="0" collapsed="false">
      <c r="A40" s="2" t="n">
        <v>39</v>
      </c>
      <c r="B40" s="3" t="s">
        <v>88</v>
      </c>
      <c r="C40" s="3" t="s">
        <v>49</v>
      </c>
      <c r="D40" s="6" t="s">
        <v>18</v>
      </c>
      <c r="E40" s="5" t="s">
        <v>89</v>
      </c>
    </row>
    <row r="41" customFormat="false" ht="26.85" hidden="false" customHeight="false" outlineLevel="0" collapsed="false">
      <c r="A41" s="2" t="n">
        <v>40</v>
      </c>
      <c r="B41" s="3" t="s">
        <v>90</v>
      </c>
      <c r="C41" s="3" t="s">
        <v>49</v>
      </c>
      <c r="D41" s="6" t="s">
        <v>18</v>
      </c>
      <c r="E41" s="5" t="s">
        <v>91</v>
      </c>
    </row>
    <row r="42" customFormat="false" ht="26.85" hidden="false" customHeight="false" outlineLevel="0" collapsed="false">
      <c r="A42" s="2" t="n">
        <v>41</v>
      </c>
      <c r="B42" s="3" t="s">
        <v>92</v>
      </c>
      <c r="C42" s="3" t="s">
        <v>6</v>
      </c>
      <c r="D42" s="4" t="s">
        <v>7</v>
      </c>
      <c r="E42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8" t="s">
        <v>3</v>
      </c>
      <c r="B1" s="8" t="s">
        <v>94</v>
      </c>
      <c r="C1" s="8" t="s">
        <v>95</v>
      </c>
    </row>
    <row r="2" customFormat="false" ht="15" hidden="false" customHeight="false" outlineLevel="0" collapsed="false">
      <c r="A2" s="9" t="s">
        <v>28</v>
      </c>
      <c r="B2" s="10" t="n">
        <f aca="false">COUNTIF('Risk Classification'!D2:D42,"High")</f>
        <v>8</v>
      </c>
      <c r="C2" s="11" t="n">
        <f aca="false">B2/$B$5</f>
        <v>0.195121951219512</v>
      </c>
    </row>
    <row r="3" customFormat="false" ht="15" hidden="false" customHeight="false" outlineLevel="0" collapsed="false">
      <c r="A3" s="12" t="s">
        <v>18</v>
      </c>
      <c r="B3" s="10" t="n">
        <f aca="false">COUNTIF('Risk Classification'!D2:D42,"Medium")</f>
        <v>22</v>
      </c>
      <c r="C3" s="11" t="n">
        <f aca="false">B3/$B$5</f>
        <v>0.536585365853659</v>
      </c>
    </row>
    <row r="4" customFormat="false" ht="15" hidden="false" customHeight="false" outlineLevel="0" collapsed="false">
      <c r="A4" s="13" t="s">
        <v>7</v>
      </c>
      <c r="B4" s="10" t="n">
        <f aca="false">COUNTIF('Risk Classification'!D2:D42,"Low")</f>
        <v>11</v>
      </c>
      <c r="C4" s="11" t="n">
        <f aca="false">B4/$B$5</f>
        <v>0.268292682926829</v>
      </c>
    </row>
    <row r="5" customFormat="false" ht="15" hidden="false" customHeight="false" outlineLevel="0" collapsed="false">
      <c r="A5" s="14" t="s">
        <v>96</v>
      </c>
      <c r="B5" s="14" t="n">
        <f aca="false">SUM(B2:B4)</f>
        <v>41</v>
      </c>
      <c r="C5" s="15" t="n">
        <f aca="false">B5/$B$5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2026-06-06T05:57:11Z</dcterms:created>
  <dc:creator>openpyxl</dc:creator>
  <dc:description/>
  <dc:language>en-US</dc:language>
  <cp:lastModifiedBy/>
  <dcterms:modified xsi:type="dcterms:W3CDTF">2026-06-06T05:57:11Z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