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Contracts" sheetId="1" state="visible" r:id="rId3"/>
    <sheet name="Summary" sheetId="2" state="visible" r:id="rId4"/>
    <sheet name="Conflict 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<sst xmlns="http://schemas.openxmlformats.org/spreadsheetml/2006/main" count="156" uniqueCount="107">
  <si>
    <t xml:space="preserve">ID</t>
  </si>
  <si>
    <t xml:space="preserve">Contract Type</t>
  </si>
  <si>
    <t xml:space="preserve">Sub-type</t>
  </si>
  <si>
    <t xml:space="preserve">Source</t>
  </si>
  <si>
    <t xml:space="preserve">Origin</t>
  </si>
  <si>
    <t xml:space="preserve">Pages</t>
  </si>
  <si>
    <t xml:space="preserve">Notes</t>
  </si>
  <si>
    <t xml:space="preserve">C01</t>
  </si>
  <si>
    <t xml:space="preserve">NDA</t>
  </si>
  <si>
    <t xml:space="preserve">Mutual NDA</t>
  </si>
  <si>
    <t xml:space="preserve">SEC EDGAR (10-K exhibit)</t>
  </si>
  <si>
    <t xml:space="preserve">EDGAR</t>
  </si>
  <si>
    <t xml:space="preserve">Anchor doc to compare against CUAD-style filings</t>
  </si>
  <si>
    <t xml:space="preserve">C02</t>
  </si>
  <si>
    <t xml:space="preserve">Law Insider</t>
  </si>
  <si>
    <t xml:space="preserve">Public</t>
  </si>
  <si>
    <t xml:space="preserve">Standard two-way confidentiality template</t>
  </si>
  <si>
    <t xml:space="preserve">C03</t>
  </si>
  <si>
    <t xml:space="preserve">Unilateral NDA</t>
  </si>
  <si>
    <t xml:space="preserve">eForms</t>
  </si>
  <si>
    <t xml:space="preserve">Template</t>
  </si>
  <si>
    <t xml:space="preserve">One-way disclosure, employer-to-contractor</t>
  </si>
  <si>
    <t xml:space="preserve">C04</t>
  </si>
  <si>
    <t xml:space="preserve">Employee NDA</t>
  </si>
  <si>
    <t xml:space="preserve">SCORE.org</t>
  </si>
  <si>
    <t xml:space="preserve">Small-business employee confidentiality form</t>
  </si>
  <si>
    <t xml:space="preserve">C05</t>
  </si>
  <si>
    <t xml:space="preserve">Rocket Lawyer</t>
  </si>
  <si>
    <t xml:space="preserve">Includes non-solicit + non-disparagement clauses</t>
  </si>
  <si>
    <t xml:space="preserve">C06</t>
  </si>
  <si>
    <t xml:space="preserve">GitHub (open contract templates)</t>
  </si>
  <si>
    <t xml:space="preserve">Markdown template, startup-oriented</t>
  </si>
  <si>
    <t xml:space="preserve">C07</t>
  </si>
  <si>
    <t xml:space="preserve">Investor NDA</t>
  </si>
  <si>
    <t xml:space="preserve">Pre-investment due-diligence NDA, longer</t>
  </si>
  <si>
    <t xml:space="preserve">C08</t>
  </si>
  <si>
    <t xml:space="preserve">Freelance</t>
  </si>
  <si>
    <t xml:space="preserve">Service Agreement</t>
  </si>
  <si>
    <t xml:space="preserve">HelloBonsai</t>
  </si>
  <si>
    <t xml:space="preserve">Freelance design services, includes IP assignment</t>
  </si>
  <si>
    <t xml:space="preserve">C09</t>
  </si>
  <si>
    <t xml:space="preserve">Independent Contractor</t>
  </si>
  <si>
    <t xml:space="preserve">Generic IC agreement, payment + termination terms</t>
  </si>
  <si>
    <t xml:space="preserve">C10</t>
  </si>
  <si>
    <t xml:space="preserve">Web Dev Agreement</t>
  </si>
  <si>
    <t xml:space="preserve">SEC EDGAR (S-1 exhibit)</t>
  </si>
  <si>
    <t xml:space="preserve">Anchor: filed services agreement</t>
  </si>
  <si>
    <t xml:space="preserve">C11</t>
  </si>
  <si>
    <t xml:space="preserve">Consulting Agreement</t>
  </si>
  <si>
    <t xml:space="preserve">Consulting scope, deliverables, non-compete</t>
  </si>
  <si>
    <t xml:space="preserve">C12</t>
  </si>
  <si>
    <t xml:space="preserve">Statement of Work</t>
  </si>
  <si>
    <t xml:space="preserve">SOW appendix with minimum commitment clause</t>
  </si>
  <si>
    <t xml:space="preserve">C13</t>
  </si>
  <si>
    <t xml:space="preserve">Graphic Design Contract</t>
  </si>
  <si>
    <t xml:space="preserve">UpCounsel</t>
  </si>
  <si>
    <t xml:space="preserve">Includes license grant + revision terms</t>
  </si>
  <si>
    <t xml:space="preserve">C14</t>
  </si>
  <si>
    <t xml:space="preserve">Writing/Content Agreement</t>
  </si>
  <si>
    <t xml:space="preserve">Copyright assignment + kill fee</t>
  </si>
  <si>
    <t xml:space="preserve">C15</t>
  </si>
  <si>
    <t xml:space="preserve">Rental</t>
  </si>
  <si>
    <t xml:space="preserve">Residential Lease</t>
  </si>
  <si>
    <t xml:space="preserve">California DCA (.gov)</t>
  </si>
  <si>
    <t xml:space="preserve">Govt</t>
  </si>
  <si>
    <t xml:space="preserve">State-standard residential lease</t>
  </si>
  <si>
    <t xml:space="preserve">C16</t>
  </si>
  <si>
    <t xml:space="preserve">Florida Realtors / Bar form</t>
  </si>
  <si>
    <t xml:space="preserve">Long standardized lease form</t>
  </si>
  <si>
    <t xml:space="preserve">C17</t>
  </si>
  <si>
    <t xml:space="preserve">Month-to-Month Rental</t>
  </si>
  <si>
    <t xml:space="preserve">Short tenancy-at-will agreement</t>
  </si>
  <si>
    <t xml:space="preserve">C18</t>
  </si>
  <si>
    <t xml:space="preserve">Commercial Lease</t>
  </si>
  <si>
    <t xml:space="preserve">Commercial lease, audit + insurance clauses</t>
  </si>
  <si>
    <t xml:space="preserve">C19</t>
  </si>
  <si>
    <t xml:space="preserve">Room Rental Agreement</t>
  </si>
  <si>
    <t xml:space="preserve">LawDepot</t>
  </si>
  <si>
    <t xml:space="preserve">Roommate/room rental form</t>
  </si>
  <si>
    <t xml:space="preserve">C20</t>
  </si>
  <si>
    <t xml:space="preserve">Sublease Agreement</t>
  </si>
  <si>
    <t xml:space="preserve">HUD / public housing form</t>
  </si>
  <si>
    <t xml:space="preserve">Sublease with anti-assignment clause</t>
  </si>
  <si>
    <t xml:space="preserve">Count</t>
  </si>
  <si>
    <t xml:space="preserve">Total Pages</t>
  </si>
  <si>
    <t xml:space="preserve">Total</t>
  </si>
  <si>
    <t xml:space="preserve">#</t>
  </si>
  <si>
    <t xml:space="preserve">Clause A</t>
  </si>
  <si>
    <t xml:space="preserve">Clause B</t>
  </si>
  <si>
    <t xml:space="preserve">Why it matters</t>
  </si>
  <si>
    <t xml:space="preserve">Exclusivity</t>
  </si>
  <si>
    <t xml:space="preserve">Most Favored Nation</t>
  </si>
  <si>
    <t xml:space="preserve">Exclusivity allows only one counterparty, so the 'best price vs. others' benchmark MFN requires cannot exist; binding both over-constrains pricing and can create breach by construction.</t>
  </si>
  <si>
    <t xml:space="preserve">Irrevocable Or Perpetual License</t>
  </si>
  <si>
    <t xml:space="preserve">Termination For Convenience</t>
  </si>
  <si>
    <t xml:space="preserve">One side can end the contract at will, yet the license never expires; the parties contradict each other on whether IP rights survive termination.</t>
  </si>
  <si>
    <t xml:space="preserve">Uncapped Liability</t>
  </si>
  <si>
    <t xml:space="preserve">Cap On Liability</t>
  </si>
  <si>
    <t xml:space="preserve">A fixed liability ceiling in one section collides with unlimited liability in another (e.g. IP or confidentiality breach); the true maximum exposure becomes ambiguous.</t>
  </si>
  <si>
    <t xml:space="preserve">Non-Compete</t>
  </si>
  <si>
    <t xml:space="preserve">Competitive Restriction Exception</t>
  </si>
  <si>
    <t xml:space="preserve">A broad carve-out can permit the very activity the non-compete forbids, making the scope and enforceability of the restraint unclear.</t>
  </si>
  <si>
    <t xml:space="preserve">Anti-Assignment</t>
  </si>
  <si>
    <t xml:space="preserve">Change Of Control</t>
  </si>
  <si>
    <t xml:space="preserve">Anti-assignment blocks transfer without consent, but a change-of-control event may pass the contract to an acquirer automatically; they disagree on whether an M&amp;A transfer is allowed.</t>
  </si>
  <si>
    <t xml:space="preserve">Minimum Commitment</t>
  </si>
  <si>
    <t xml:space="preserve">A guaranteed minimum spend conflicts with the right to exit early; it is unclear whether the full minimum is still owed after termination.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</si>
</sst>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4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2" t="n">
        <v>4</v>
      </c>
      <c r="G2" s="5" t="s">
        <v>12</v>
      </c>
    </row>
    <row r="3" customFormat="false" ht="15" hidden="false" customHeight="false" outlineLevel="0" collapsed="false">
      <c r="A3" s="2" t="s">
        <v>13</v>
      </c>
      <c r="B3" s="3" t="s">
        <v>8</v>
      </c>
      <c r="C3" s="4" t="s">
        <v>9</v>
      </c>
      <c r="D3" s="4" t="s">
        <v>14</v>
      </c>
      <c r="E3" s="4" t="s">
        <v>15</v>
      </c>
      <c r="F3" s="2" t="n">
        <v>3</v>
      </c>
      <c r="G3" s="5" t="s">
        <v>16</v>
      </c>
    </row>
    <row r="4" customFormat="false" ht="15" hidden="false" customHeight="false" outlineLevel="0" collapsed="false">
      <c r="A4" s="2" t="s">
        <v>17</v>
      </c>
      <c r="B4" s="3" t="s">
        <v>8</v>
      </c>
      <c r="C4" s="4" t="s">
        <v>18</v>
      </c>
      <c r="D4" s="4" t="s">
        <v>19</v>
      </c>
      <c r="E4" s="4" t="s">
        <v>20</v>
      </c>
      <c r="F4" s="2" t="n">
        <v>2</v>
      </c>
      <c r="G4" s="5" t="s">
        <v>21</v>
      </c>
    </row>
    <row r="5" customFormat="false" ht="26.85" hidden="false" customHeight="false" outlineLevel="0" collapsed="false">
      <c r="A5" s="2" t="s">
        <v>22</v>
      </c>
      <c r="B5" s="3" t="s">
        <v>8</v>
      </c>
      <c r="C5" s="4" t="s">
        <v>23</v>
      </c>
      <c r="D5" s="4" t="s">
        <v>24</v>
      </c>
      <c r="E5" s="4" t="s">
        <v>20</v>
      </c>
      <c r="F5" s="2" t="n">
        <v>3</v>
      </c>
      <c r="G5" s="5" t="s">
        <v>25</v>
      </c>
    </row>
    <row r="6" customFormat="false" ht="26.85" hidden="false" customHeight="false" outlineLevel="0" collapsed="false">
      <c r="A6" s="2" t="s">
        <v>26</v>
      </c>
      <c r="B6" s="3" t="s">
        <v>8</v>
      </c>
      <c r="C6" s="4" t="s">
        <v>18</v>
      </c>
      <c r="D6" s="4" t="s">
        <v>27</v>
      </c>
      <c r="E6" s="4" t="s">
        <v>20</v>
      </c>
      <c r="F6" s="2" t="n">
        <v>2</v>
      </c>
      <c r="G6" s="5" t="s">
        <v>28</v>
      </c>
    </row>
    <row r="7" customFormat="false" ht="15" hidden="false" customHeight="false" outlineLevel="0" collapsed="false">
      <c r="A7" s="2" t="s">
        <v>29</v>
      </c>
      <c r="B7" s="3" t="s">
        <v>8</v>
      </c>
      <c r="C7" s="4" t="s">
        <v>9</v>
      </c>
      <c r="D7" s="4" t="s">
        <v>30</v>
      </c>
      <c r="E7" s="4" t="s">
        <v>15</v>
      </c>
      <c r="F7" s="2" t="n">
        <v>3</v>
      </c>
      <c r="G7" s="5" t="s">
        <v>31</v>
      </c>
    </row>
    <row r="8" customFormat="false" ht="15" hidden="false" customHeight="false" outlineLevel="0" collapsed="false">
      <c r="A8" s="2" t="s">
        <v>32</v>
      </c>
      <c r="B8" s="3" t="s">
        <v>8</v>
      </c>
      <c r="C8" s="4" t="s">
        <v>33</v>
      </c>
      <c r="D8" s="4" t="s">
        <v>14</v>
      </c>
      <c r="E8" s="4" t="s">
        <v>15</v>
      </c>
      <c r="F8" s="2" t="n">
        <v>5</v>
      </c>
      <c r="G8" s="5" t="s">
        <v>34</v>
      </c>
    </row>
    <row r="9" customFormat="false" ht="26.85" hidden="false" customHeight="false" outlineLevel="0" collapsed="false">
      <c r="A9" s="2" t="s">
        <v>35</v>
      </c>
      <c r="B9" s="6" t="s">
        <v>36</v>
      </c>
      <c r="C9" s="4" t="s">
        <v>37</v>
      </c>
      <c r="D9" s="4" t="s">
        <v>38</v>
      </c>
      <c r="E9" s="4" t="s">
        <v>20</v>
      </c>
      <c r="F9" s="2" t="n">
        <v>4</v>
      </c>
      <c r="G9" s="5" t="s">
        <v>39</v>
      </c>
    </row>
    <row r="10" customFormat="false" ht="26.85" hidden="false" customHeight="false" outlineLevel="0" collapsed="false">
      <c r="A10" s="2" t="s">
        <v>40</v>
      </c>
      <c r="B10" s="6" t="s">
        <v>36</v>
      </c>
      <c r="C10" s="4" t="s">
        <v>41</v>
      </c>
      <c r="D10" s="4" t="s">
        <v>19</v>
      </c>
      <c r="E10" s="4" t="s">
        <v>20</v>
      </c>
      <c r="F10" s="2" t="n">
        <v>5</v>
      </c>
      <c r="G10" s="5" t="s">
        <v>42</v>
      </c>
    </row>
    <row r="11" customFormat="false" ht="15" hidden="false" customHeight="false" outlineLevel="0" collapsed="false">
      <c r="A11" s="2" t="s">
        <v>43</v>
      </c>
      <c r="B11" s="6" t="s">
        <v>36</v>
      </c>
      <c r="C11" s="4" t="s">
        <v>44</v>
      </c>
      <c r="D11" s="4" t="s">
        <v>45</v>
      </c>
      <c r="E11" s="4" t="s">
        <v>11</v>
      </c>
      <c r="F11" s="2" t="n">
        <v>8</v>
      </c>
      <c r="G11" s="5" t="s">
        <v>46</v>
      </c>
    </row>
    <row r="12" customFormat="false" ht="26.85" hidden="false" customHeight="false" outlineLevel="0" collapsed="false">
      <c r="A12" s="2" t="s">
        <v>47</v>
      </c>
      <c r="B12" s="6" t="s">
        <v>36</v>
      </c>
      <c r="C12" s="4" t="s">
        <v>48</v>
      </c>
      <c r="D12" s="4" t="s">
        <v>24</v>
      </c>
      <c r="E12" s="4" t="s">
        <v>20</v>
      </c>
      <c r="F12" s="2" t="n">
        <v>6</v>
      </c>
      <c r="G12" s="5" t="s">
        <v>49</v>
      </c>
    </row>
    <row r="13" customFormat="false" ht="26.85" hidden="false" customHeight="false" outlineLevel="0" collapsed="false">
      <c r="A13" s="2" t="s">
        <v>50</v>
      </c>
      <c r="B13" s="6" t="s">
        <v>36</v>
      </c>
      <c r="C13" s="4" t="s">
        <v>51</v>
      </c>
      <c r="D13" s="4" t="s">
        <v>14</v>
      </c>
      <c r="E13" s="4" t="s">
        <v>15</v>
      </c>
      <c r="F13" s="2" t="n">
        <v>3</v>
      </c>
      <c r="G13" s="5" t="s">
        <v>52</v>
      </c>
    </row>
    <row r="14" customFormat="false" ht="15" hidden="false" customHeight="false" outlineLevel="0" collapsed="false">
      <c r="A14" s="2" t="s">
        <v>53</v>
      </c>
      <c r="B14" s="6" t="s">
        <v>36</v>
      </c>
      <c r="C14" s="4" t="s">
        <v>54</v>
      </c>
      <c r="D14" s="4" t="s">
        <v>55</v>
      </c>
      <c r="E14" s="4" t="s">
        <v>20</v>
      </c>
      <c r="F14" s="2" t="n">
        <v>4</v>
      </c>
      <c r="G14" s="5" t="s">
        <v>56</v>
      </c>
    </row>
    <row r="15" customFormat="false" ht="15" hidden="false" customHeight="false" outlineLevel="0" collapsed="false">
      <c r="A15" s="2" t="s">
        <v>57</v>
      </c>
      <c r="B15" s="6" t="s">
        <v>36</v>
      </c>
      <c r="C15" s="4" t="s">
        <v>58</v>
      </c>
      <c r="D15" s="4" t="s">
        <v>27</v>
      </c>
      <c r="E15" s="4" t="s">
        <v>20</v>
      </c>
      <c r="F15" s="2" t="n">
        <v>3</v>
      </c>
      <c r="G15" s="5" t="s">
        <v>59</v>
      </c>
    </row>
    <row r="16" customFormat="false" ht="15" hidden="false" customHeight="false" outlineLevel="0" collapsed="false">
      <c r="A16" s="2" t="s">
        <v>60</v>
      </c>
      <c r="B16" s="7" t="s">
        <v>61</v>
      </c>
      <c r="C16" s="4" t="s">
        <v>62</v>
      </c>
      <c r="D16" s="4" t="s">
        <v>63</v>
      </c>
      <c r="E16" s="4" t="s">
        <v>64</v>
      </c>
      <c r="F16" s="2" t="n">
        <v>9</v>
      </c>
      <c r="G16" s="5" t="s">
        <v>65</v>
      </c>
    </row>
    <row r="17" customFormat="false" ht="15" hidden="false" customHeight="false" outlineLevel="0" collapsed="false">
      <c r="A17" s="2" t="s">
        <v>66</v>
      </c>
      <c r="B17" s="7" t="s">
        <v>61</v>
      </c>
      <c r="C17" s="4" t="s">
        <v>62</v>
      </c>
      <c r="D17" s="4" t="s">
        <v>67</v>
      </c>
      <c r="E17" s="4" t="s">
        <v>64</v>
      </c>
      <c r="F17" s="2" t="n">
        <v>12</v>
      </c>
      <c r="G17" s="5" t="s">
        <v>68</v>
      </c>
    </row>
    <row r="18" customFormat="false" ht="15" hidden="false" customHeight="false" outlineLevel="0" collapsed="false">
      <c r="A18" s="2" t="s">
        <v>69</v>
      </c>
      <c r="B18" s="7" t="s">
        <v>61</v>
      </c>
      <c r="C18" s="4" t="s">
        <v>70</v>
      </c>
      <c r="D18" s="4" t="s">
        <v>19</v>
      </c>
      <c r="E18" s="4" t="s">
        <v>20</v>
      </c>
      <c r="F18" s="2" t="n">
        <v>4</v>
      </c>
      <c r="G18" s="5" t="s">
        <v>71</v>
      </c>
    </row>
    <row r="19" customFormat="false" ht="26.85" hidden="false" customHeight="false" outlineLevel="0" collapsed="false">
      <c r="A19" s="2" t="s">
        <v>72</v>
      </c>
      <c r="B19" s="7" t="s">
        <v>61</v>
      </c>
      <c r="C19" s="4" t="s">
        <v>73</v>
      </c>
      <c r="D19" s="4" t="s">
        <v>14</v>
      </c>
      <c r="E19" s="4" t="s">
        <v>15</v>
      </c>
      <c r="F19" s="2" t="n">
        <v>11</v>
      </c>
      <c r="G19" s="5" t="s">
        <v>74</v>
      </c>
    </row>
    <row r="20" customFormat="false" ht="15" hidden="false" customHeight="false" outlineLevel="0" collapsed="false">
      <c r="A20" s="2" t="s">
        <v>75</v>
      </c>
      <c r="B20" s="7" t="s">
        <v>61</v>
      </c>
      <c r="C20" s="4" t="s">
        <v>76</v>
      </c>
      <c r="D20" s="4" t="s">
        <v>77</v>
      </c>
      <c r="E20" s="4" t="s">
        <v>20</v>
      </c>
      <c r="F20" s="2" t="n">
        <v>5</v>
      </c>
      <c r="G20" s="5" t="s">
        <v>78</v>
      </c>
    </row>
    <row r="21" customFormat="false" ht="15" hidden="false" customHeight="false" outlineLevel="0" collapsed="false">
      <c r="A21" s="2" t="s">
        <v>79</v>
      </c>
      <c r="B21" s="7" t="s">
        <v>61</v>
      </c>
      <c r="C21" s="4" t="s">
        <v>80</v>
      </c>
      <c r="D21" s="4" t="s">
        <v>81</v>
      </c>
      <c r="E21" s="4" t="s">
        <v>64</v>
      </c>
      <c r="F21" s="2" t="n">
        <v>6</v>
      </c>
      <c r="G21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8" t="s">
        <v>1</v>
      </c>
      <c r="B1" s="8" t="s">
        <v>83</v>
      </c>
      <c r="C1" s="8" t="s">
        <v>84</v>
      </c>
    </row>
    <row r="2" customFormat="false" ht="15" hidden="false" customHeight="false" outlineLevel="0" collapsed="false">
      <c r="A2" s="9" t="s">
        <v>8</v>
      </c>
      <c r="B2" s="10" t="n">
        <f aca="false">COUNTIF('Sample Contracts'!B2:B21,"NDA")</f>
        <v>7</v>
      </c>
      <c r="C2" s="10" t="n">
        <f aca="false">SUMIF('Sample Contracts'!B2:B21,"NDA",'Sample Contracts'!F2:F21)</f>
        <v>22</v>
      </c>
    </row>
    <row r="3" customFormat="false" ht="15" hidden="false" customHeight="false" outlineLevel="0" collapsed="false">
      <c r="A3" s="11" t="s">
        <v>36</v>
      </c>
      <c r="B3" s="10" t="n">
        <f aca="false">COUNTIF('Sample Contracts'!B2:B21,"Freelance")</f>
        <v>7</v>
      </c>
      <c r="C3" s="10" t="n">
        <f aca="false">SUMIF('Sample Contracts'!B2:B21,"Freelance",'Sample Contracts'!F2:F21)</f>
        <v>33</v>
      </c>
    </row>
    <row r="4" customFormat="false" ht="15" hidden="false" customHeight="false" outlineLevel="0" collapsed="false">
      <c r="A4" s="12" t="s">
        <v>61</v>
      </c>
      <c r="B4" s="10" t="n">
        <f aca="false">COUNTIF('Sample Contracts'!B2:B21,"Rental")</f>
        <v>6</v>
      </c>
      <c r="C4" s="10" t="n">
        <f aca="false">SUMIF('Sample Contracts'!B2:B21,"Rental",'Sample Contracts'!F2:F21)</f>
        <v>47</v>
      </c>
    </row>
    <row r="5" customFormat="false" ht="15" hidden="false" customHeight="false" outlineLevel="0" collapsed="false">
      <c r="A5" s="13" t="s">
        <v>85</v>
      </c>
      <c r="B5" s="13" t="n">
        <f aca="false">SUM(B2:B4)</f>
        <v>20</v>
      </c>
      <c r="C5" s="13" t="n">
        <f aca="false">SUM(C2:C4)</f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86</v>
      </c>
      <c r="B1" s="8" t="s">
        <v>87</v>
      </c>
      <c r="C1" s="8" t="s">
        <v>88</v>
      </c>
      <c r="D1" s="8" t="s">
        <v>89</v>
      </c>
    </row>
    <row r="2" customFormat="false" ht="39.55" hidden="false" customHeight="false" outlineLevel="0" collapsed="false">
      <c r="A2" s="2" t="n">
        <v>1</v>
      </c>
      <c r="B2" s="4" t="s">
        <v>90</v>
      </c>
      <c r="C2" s="4" t="s">
        <v>91</v>
      </c>
      <c r="D2" s="5" t="s">
        <v>92</v>
      </c>
    </row>
    <row r="3" customFormat="false" ht="26.85" hidden="false" customHeight="false" outlineLevel="0" collapsed="false">
      <c r="A3" s="2" t="n">
        <v>2</v>
      </c>
      <c r="B3" s="4" t="s">
        <v>93</v>
      </c>
      <c r="C3" s="4" t="s">
        <v>94</v>
      </c>
      <c r="D3" s="5" t="s">
        <v>95</v>
      </c>
    </row>
    <row r="4" customFormat="false" ht="39.55" hidden="false" customHeight="false" outlineLevel="0" collapsed="false">
      <c r="A4" s="2" t="n">
        <v>3</v>
      </c>
      <c r="B4" s="4" t="s">
        <v>96</v>
      </c>
      <c r="C4" s="4" t="s">
        <v>97</v>
      </c>
      <c r="D4" s="5" t="s">
        <v>98</v>
      </c>
    </row>
    <row r="5" customFormat="false" ht="26.85" hidden="false" customHeight="false" outlineLevel="0" collapsed="false">
      <c r="A5" s="2" t="n">
        <v>4</v>
      </c>
      <c r="B5" s="4" t="s">
        <v>99</v>
      </c>
      <c r="C5" s="4" t="s">
        <v>100</v>
      </c>
      <c r="D5" s="5" t="s">
        <v>101</v>
      </c>
    </row>
    <row r="6" customFormat="false" ht="39.55" hidden="false" customHeight="false" outlineLevel="0" collapsed="false">
      <c r="A6" s="2" t="n">
        <v>5</v>
      </c>
      <c r="B6" s="4" t="s">
        <v>102</v>
      </c>
      <c r="C6" s="4" t="s">
        <v>103</v>
      </c>
      <c r="D6" s="5" t="s">
        <v>104</v>
      </c>
    </row>
    <row r="7" customFormat="false" ht="26.85" hidden="false" customHeight="false" outlineLevel="0" collapsed="false">
      <c r="A7" s="2" t="n">
        <v>6</v>
      </c>
      <c r="B7" s="4" t="s">
        <v>105</v>
      </c>
      <c r="C7" s="4" t="s">
        <v>94</v>
      </c>
      <c r="D7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2026-06-06T10:09:39Z</dcterms:created>
  <dc:creator>openpyxl</dc:creator>
  <dc:description/>
  <dc:language>en-US</dc:language>
  <cp:lastModifiedBy/>
  <dcterms:modified xsi:type="dcterms:W3CDTF">2026-06-06T10:09:39Z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